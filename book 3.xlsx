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23\Documents\"/>
    </mc:Choice>
  </mc:AlternateContent>
  <bookViews>
    <workbookView xWindow="0" yWindow="0" windowWidth="20490" windowHeight="7620" activeTab="3"/>
  </bookViews>
  <sheets>
    <sheet name="Sheet2" sheetId="2" r:id="rId1"/>
    <sheet name="Sheet3" sheetId="3" r:id="rId2"/>
    <sheet name="Sheet4" sheetId="4" r:id="rId3"/>
    <sheet name="Sheet1" sheetId="1" r:id="rId4"/>
  </sheets>
  <definedNames>
    <definedName name="_xlcn.WorksheetConnection_Sheet1B2J161" hidden="1">Sheet1!$B$2:$J$16</definedName>
  </definedNames>
  <calcPr calcId="162913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B$2:$J$16"/>
        </x15:modelTables>
      </x15:dataModel>
    </ext>
  </extLst>
</workbook>
</file>

<file path=xl/calcChain.xml><?xml version="1.0" encoding="utf-8"?>
<calcChain xmlns="http://schemas.openxmlformats.org/spreadsheetml/2006/main">
  <c r="E23" i="1" l="1"/>
  <c r="I16" i="1" l="1"/>
  <c r="J16" i="1" s="1"/>
  <c r="I17" i="1"/>
  <c r="J17" i="1" s="1"/>
  <c r="I18" i="1"/>
  <c r="K18" i="1" s="1"/>
  <c r="I19" i="1"/>
  <c r="J19" i="1" s="1"/>
  <c r="K19" i="1"/>
  <c r="I20" i="1"/>
  <c r="J20" i="1" s="1"/>
  <c r="K20" i="1"/>
  <c r="E24" i="1"/>
  <c r="E22" i="1"/>
  <c r="C25" i="1" s="1"/>
  <c r="C26" i="1"/>
  <c r="C24" i="1"/>
  <c r="C23" i="1"/>
  <c r="J4" i="1"/>
  <c r="J5" i="1"/>
  <c r="J6" i="1"/>
  <c r="J7" i="1"/>
  <c r="J8" i="1"/>
  <c r="J9" i="1"/>
  <c r="J10" i="1"/>
  <c r="J11" i="1"/>
  <c r="J12" i="1"/>
  <c r="J13" i="1"/>
  <c r="J14" i="1"/>
  <c r="J15" i="1"/>
  <c r="J3" i="1"/>
  <c r="K4" i="1"/>
  <c r="K5" i="1"/>
  <c r="K6" i="1"/>
  <c r="K7" i="1"/>
  <c r="K8" i="1"/>
  <c r="K9" i="1"/>
  <c r="K10" i="1"/>
  <c r="K11" i="1"/>
  <c r="K12" i="1"/>
  <c r="K13" i="1"/>
  <c r="K14" i="1"/>
  <c r="K15" i="1"/>
  <c r="K3" i="1"/>
  <c r="I15" i="1"/>
  <c r="I14" i="1"/>
  <c r="I13" i="1"/>
  <c r="J18" i="1" l="1"/>
  <c r="K17" i="1"/>
  <c r="C22" i="1"/>
  <c r="I12" i="1"/>
  <c r="I11" i="1"/>
  <c r="I10" i="1"/>
  <c r="I4" i="1"/>
  <c r="I5" i="1"/>
  <c r="I6" i="1"/>
  <c r="I7" i="1"/>
  <c r="I8" i="1"/>
  <c r="I9" i="1"/>
  <c r="I3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heet1!$B$2:$J$16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B2J16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].[ASSIGNMENT 1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<sst xmlns="http://schemas.openxmlformats.org/spreadsheetml/2006/main" count="94" uniqueCount="63">
  <si>
    <t>DATE</t>
  </si>
  <si>
    <t>QUIZ 1</t>
  </si>
  <si>
    <t>ASSIGNMENT 1</t>
  </si>
  <si>
    <t>ASSIGNMENT 2</t>
  </si>
  <si>
    <t>ASSIGNMENT 3</t>
  </si>
  <si>
    <t>CLASS PARTICIPATION</t>
  </si>
  <si>
    <t>PROJECT</t>
  </si>
  <si>
    <t>TOTAL</t>
  </si>
  <si>
    <t>PERCENTAGE</t>
  </si>
  <si>
    <t>RESULT</t>
  </si>
  <si>
    <t>NAME</t>
  </si>
  <si>
    <t>27.12.2025</t>
  </si>
  <si>
    <t>29.12.2025</t>
  </si>
  <si>
    <t>30.12.2025</t>
  </si>
  <si>
    <t>31.12.2025</t>
  </si>
  <si>
    <t>01.1.2026</t>
  </si>
  <si>
    <t>02.1.2026</t>
  </si>
  <si>
    <t>03.1.2026</t>
  </si>
  <si>
    <t>04.1.2026</t>
  </si>
  <si>
    <t>05.1.2026</t>
  </si>
  <si>
    <t>06.1.2026</t>
  </si>
  <si>
    <t>07.1.2026</t>
  </si>
  <si>
    <t>08.1.2026</t>
  </si>
  <si>
    <t>10.1.2026</t>
  </si>
  <si>
    <t>AMREEN</t>
  </si>
  <si>
    <t>SHAHERYAR</t>
  </si>
  <si>
    <t>ZUBAIR</t>
  </si>
  <si>
    <t>UBAID</t>
  </si>
  <si>
    <t>HIFZA</t>
  </si>
  <si>
    <t>HUNAIN</t>
  </si>
  <si>
    <t>UNZILA</t>
  </si>
  <si>
    <t>HASNAIN</t>
  </si>
  <si>
    <t>MAHAM</t>
  </si>
  <si>
    <t>FATIMA</t>
  </si>
  <si>
    <t>UMAIS</t>
  </si>
  <si>
    <t>HINZA</t>
  </si>
  <si>
    <t>NUMAIR</t>
  </si>
  <si>
    <t>DANIYAL</t>
  </si>
  <si>
    <t>SHABANA</t>
  </si>
  <si>
    <t>WAMIQ</t>
  </si>
  <si>
    <t>AHMAD</t>
  </si>
  <si>
    <t>UZMA</t>
  </si>
  <si>
    <t>26.12.2025</t>
  </si>
  <si>
    <t>26.12.2026</t>
  </si>
  <si>
    <t>27.12.2026</t>
  </si>
  <si>
    <t>29.12.2026</t>
  </si>
  <si>
    <t>sum</t>
  </si>
  <si>
    <t>AVERAGE</t>
  </si>
  <si>
    <t>MINIMUM</t>
  </si>
  <si>
    <t>MAXIMUM</t>
  </si>
  <si>
    <t>COUNTA</t>
  </si>
  <si>
    <t>COUNTIF</t>
  </si>
  <si>
    <t>SUMIF</t>
  </si>
  <si>
    <t>VLOOKUP</t>
  </si>
  <si>
    <t>PASS</t>
  </si>
  <si>
    <t>09.1.2026NAILA</t>
  </si>
  <si>
    <t>Row Labels</t>
  </si>
  <si>
    <t>Grand Total</t>
  </si>
  <si>
    <t>(All)</t>
  </si>
  <si>
    <t>Column Labels</t>
  </si>
  <si>
    <t>Sum of TOTAL</t>
  </si>
  <si>
    <t>All</t>
  </si>
  <si>
    <t>ANNUAL RESULT SHEET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</si>
</sst>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24"/>
      <color theme="1"/>
      <name val="Algerian"/>
      <family val="5"/>
    </font>
    <font>
      <sz val="16"/>
      <color theme="8"/>
      <name val="Arial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3.xlsx]Sheet2!PivotTable1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7217040"/>
        <c:axId val="1411505072"/>
      </c:barChart>
      <c:catAx>
        <c:axId val="1467217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505072"/>
        <c:crosses val="autoZero"/>
        <c:auto val="1"/>
        <c:lblAlgn val="ctr"/>
        <c:lblOffset val="100"/>
        <c:noMultiLvlLbl val="0"/>
      </c:catAx>
      <c:valAx>
        <c:axId val="141150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21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8908480"/>
        <c:axId val="1468904736"/>
      </c:barChart>
      <c:catAx>
        <c:axId val="146890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904736"/>
        <c:crosses val="autoZero"/>
        <c:auto val="1"/>
        <c:lblAlgn val="ctr"/>
        <c:lblOffset val="100"/>
        <c:noMultiLvlLbl val="0"/>
      </c:catAx>
      <c:valAx>
        <c:axId val="146890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90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3.xlsx]Sheet4!PivotTable3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Sheet4!$B$4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cat>
            <c:multiLvlStrRef>
              <c:f>Sheet4!$A$5:$A$33</c:f>
              <c:multiLvlStrCache>
                <c:ptCount val="14"/>
                <c:lvl>
                  <c:pt idx="0">
                    <c:v>14</c:v>
                  </c:pt>
                  <c:pt idx="1">
                    <c:v>19</c:v>
                  </c:pt>
                  <c:pt idx="2">
                    <c:v>8</c:v>
                  </c:pt>
                  <c:pt idx="3">
                    <c:v>18</c:v>
                  </c:pt>
                  <c:pt idx="4">
                    <c:v>20</c:v>
                  </c:pt>
                  <c:pt idx="5">
                    <c:v>19</c:v>
                  </c:pt>
                  <c:pt idx="6">
                    <c:v>11</c:v>
                  </c:pt>
                  <c:pt idx="7">
                    <c:v>9</c:v>
                  </c:pt>
                  <c:pt idx="8">
                    <c:v>15</c:v>
                  </c:pt>
                  <c:pt idx="9">
                    <c:v>15</c:v>
                  </c:pt>
                  <c:pt idx="10">
                    <c:v>7</c:v>
                  </c:pt>
                  <c:pt idx="11">
                    <c:v>9</c:v>
                  </c:pt>
                  <c:pt idx="12">
                    <c:v>18</c:v>
                  </c:pt>
                  <c:pt idx="13">
                    <c:v>18</c:v>
                  </c:pt>
                </c:lvl>
                <c:lvl>
                  <c:pt idx="0">
                    <c:v>AMREEN</c:v>
                  </c:pt>
                  <c:pt idx="1">
                    <c:v>DANIYAL</c:v>
                  </c:pt>
                  <c:pt idx="2">
                    <c:v>FATIMA</c:v>
                  </c:pt>
                  <c:pt idx="3">
                    <c:v>HASNAIN</c:v>
                  </c:pt>
                  <c:pt idx="4">
                    <c:v>HIFZA</c:v>
                  </c:pt>
                  <c:pt idx="5">
                    <c:v>HINZA</c:v>
                  </c:pt>
                  <c:pt idx="6">
                    <c:v>HUNAIN</c:v>
                  </c:pt>
                  <c:pt idx="7">
                    <c:v>MAHAM</c:v>
                  </c:pt>
                  <c:pt idx="8">
                    <c:v>NUMAIR</c:v>
                  </c:pt>
                  <c:pt idx="9">
                    <c:v>SHAHERYAR</c:v>
                  </c:pt>
                  <c:pt idx="10">
                    <c:v>UBAID</c:v>
                  </c:pt>
                  <c:pt idx="11">
                    <c:v>UMAIS</c:v>
                  </c:pt>
                  <c:pt idx="12">
                    <c:v>UNZILA</c:v>
                  </c:pt>
                  <c:pt idx="13">
                    <c:v>ZUBAIR</c:v>
                  </c:pt>
                </c:lvl>
              </c:multiLvlStrCache>
            </c:multiLvlStrRef>
          </c:cat>
          <c:val>
            <c:numRef>
              <c:f>Sheet4!$B$5:$B$33</c:f>
              <c:numCache>
                <c:formatCode>General</c:formatCode>
                <c:ptCount val="14"/>
                <c:pt idx="0">
                  <c:v>67</c:v>
                </c:pt>
                <c:pt idx="1">
                  <c:v>77</c:v>
                </c:pt>
                <c:pt idx="2">
                  <c:v>40</c:v>
                </c:pt>
                <c:pt idx="3">
                  <c:v>85</c:v>
                </c:pt>
                <c:pt idx="4">
                  <c:v>84</c:v>
                </c:pt>
                <c:pt idx="5">
                  <c:v>87</c:v>
                </c:pt>
                <c:pt idx="6">
                  <c:v>61</c:v>
                </c:pt>
                <c:pt idx="7">
                  <c:v>41</c:v>
                </c:pt>
                <c:pt idx="8">
                  <c:v>87</c:v>
                </c:pt>
                <c:pt idx="9">
                  <c:v>59</c:v>
                </c:pt>
                <c:pt idx="10">
                  <c:v>41</c:v>
                </c:pt>
                <c:pt idx="11">
                  <c:v>37</c:v>
                </c:pt>
                <c:pt idx="12">
                  <c:v>78</c:v>
                </c:pt>
                <c:pt idx="13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F-4A0A-AE6F-120AFF214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480194192"/>
        <c:axId val="1480195024"/>
      </c:barChart>
      <c:catAx>
        <c:axId val="14801941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195024"/>
        <c:crosses val="autoZero"/>
        <c:auto val="1"/>
        <c:lblAlgn val="ctr"/>
        <c:lblOffset val="100"/>
        <c:noMultiLvlLbl val="0"/>
      </c:catAx>
      <c:valAx>
        <c:axId val="14801950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19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971550</xdr:colOff>
      <xdr:row>1</xdr:row>
      <xdr:rowOff>0</xdr:rowOff>
    </xdr:from>
    <xdr:to>
      <xdr:col>11</xdr:col>
      <xdr:colOff>304800</xdr:colOff>
      <xdr:row>15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433387</xdr:colOff>
      <xdr:row>4</xdr:row>
      <xdr:rowOff>152400</xdr:rowOff>
    </xdr:from>
    <xdr:to>
      <xdr:col>12</xdr:col>
      <xdr:colOff>128587</xdr:colOff>
      <xdr:row>19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123" refreshedDate="46052.946817129632" createdVersion="6" refreshedVersion="6" minRefreshableVersion="3" recordCount="4">
  <cacheSource type="worksheet">
    <worksheetSource ref="B22:E26" sheet="Sheet1"/>
  </cacheSource>
  <cacheFields count="4">
    <cacheField name="sum" numFmtId="0">
      <sharedItems/>
    </cacheField>
    <cacheField name="1203" numFmtId="0">
      <sharedItems containsSemiMixedTypes="0" containsString="0" containsNumber="1" containsInteger="1" minValue="3" maxValue="32"/>
    </cacheField>
    <cacheField name="COUNTIF" numFmtId="0">
      <sharedItems containsBlank="1"/>
    </cacheField>
    <cacheField name="10" numFmtId="0">
      <sharedItems containsString="0" containsBlank="1" containsNumber="1" containsInteger="1" minValue="0" maxValue="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123" refreshedDate="46052.950628819446" createdVersion="6" refreshedVersion="6" minRefreshableVersion="3" recordCount="14">
  <cacheSource type="worksheet">
    <worksheetSource ref="B2:J16" sheet="Sheet1"/>
  </cacheSource>
  <cacheFields count="9">
    <cacheField name="NAME" numFmtId="0">
      <sharedItems count="14">
        <s v="SHAHERYAR"/>
        <s v="AMREEN"/>
        <s v="ZUBAIR"/>
        <s v="UBAID"/>
        <s v="HIFZA"/>
        <s v="HUNAIN"/>
        <s v="UNZILA"/>
        <s v="HASNAIN"/>
        <s v="MAHAM"/>
        <s v="FATIMA"/>
        <s v="UMAIS"/>
        <s v="HINZA"/>
        <s v="NUMAIR"/>
        <s v="DANIYAL"/>
      </sharedItems>
    </cacheField>
    <cacheField name="QUIZ 1" numFmtId="0">
      <sharedItems containsSemiMixedTypes="0" containsString="0" containsNumber="1" containsInteger="1" minValue="3" maxValue="9" count="7">
        <n v="7"/>
        <n v="8"/>
        <n v="9"/>
        <n v="6"/>
        <n v="5"/>
        <n v="4"/>
        <n v="3"/>
      </sharedItems>
    </cacheField>
    <cacheField name="ASSIGNMENT 1" numFmtId="0">
      <sharedItems containsSemiMixedTypes="0" containsString="0" containsNumber="1" containsInteger="1" minValue="3" maxValue="8" count="6">
        <n v="5"/>
        <n v="6"/>
        <n v="7"/>
        <n v="4"/>
        <n v="3"/>
        <n v="8"/>
      </sharedItems>
    </cacheField>
    <cacheField name="ASSIGNMENT 2" numFmtId="0">
      <sharedItems containsSemiMixedTypes="0" containsString="0" containsNumber="1" containsInteger="1" minValue="3" maxValue="9" count="7">
        <n v="6"/>
        <n v="7"/>
        <n v="3"/>
        <n v="8"/>
        <n v="4"/>
        <n v="9"/>
        <n v="5"/>
      </sharedItems>
    </cacheField>
    <cacheField name="ASSIGNMENT 3" numFmtId="0">
      <sharedItems containsSemiMixedTypes="0" containsString="0" containsNumber="1" containsInteger="1" minValue="4" maxValue="9" count="6">
        <n v="6"/>
        <n v="7"/>
        <n v="8"/>
        <n v="4"/>
        <n v="5"/>
        <n v="9"/>
      </sharedItems>
    </cacheField>
    <cacheField name="CLASS PARTICIPATION" numFmtId="0">
      <sharedItems containsSemiMixedTypes="0" containsString="0" containsNumber="1" containsInteger="1" minValue="7" maxValue="20" count="9">
        <n v="15"/>
        <n v="14"/>
        <n v="18"/>
        <n v="7"/>
        <n v="20"/>
        <n v="11"/>
        <n v="9"/>
        <n v="8"/>
        <n v="19"/>
      </sharedItems>
    </cacheField>
    <cacheField name="PROJECT" numFmtId="0">
      <sharedItems containsSemiMixedTypes="0" containsString="0" containsNumber="1" containsInteger="1" minValue="5" maxValue="39" count="11">
        <n v="20"/>
        <n v="25"/>
        <n v="35"/>
        <n v="7"/>
        <n v="39"/>
        <n v="30"/>
        <n v="32"/>
        <n v="38"/>
        <n v="14"/>
        <n v="5"/>
        <n v="6"/>
      </sharedItems>
    </cacheField>
    <cacheField name="TOTAL" numFmtId="0">
      <sharedItems containsSemiMixedTypes="0" containsString="0" containsNumber="1" containsInteger="1" minValue="37" maxValue="87"/>
    </cacheField>
    <cacheField name="PERCENTAGE" numFmtId="0">
      <sharedItems containsSemiMixedTypes="0" containsString="0" containsNumber="1" minValue="33.636363636363633" maxValue="79.0909090909090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123" refreshedDate="46052.957674652775" backgroundQuery="1" createdVersion="6" refreshedVersion="6" minRefreshableVersion="3" recordCount="0" supportSubquery="1" supportAdvancedDrill="1">
  <cacheSource type="external" connectionId="1"/>
  <cacheFields count="4">
    <cacheField name="[Range].[ASSIGNMENT 1].[ASSIGNMENT 1]" caption="ASSIGNMENT 1" numFmtId="0" hierarchy="2" level="1">
      <sharedItems containsSemiMixedTypes="0" containsNonDate="0" containsString="0"/>
    </cacheField>
    <cacheField name="[Range].[NAME].[NAME]" caption="NAME" numFmtId="0" level="1">
      <sharedItems count="14">
        <s v="AMREEN"/>
        <s v="DANIYAL"/>
        <s v="FATIMA"/>
        <s v="HASNAIN"/>
        <s v="HIFZA"/>
        <s v="HINZA"/>
        <s v="HUNAIN"/>
        <s v="MAHAM"/>
        <s v="NUMAIR"/>
        <s v="SHAHERYAR"/>
        <s v="UBAID"/>
        <s v="UMAIS"/>
        <s v="UNZILA"/>
        <s v="ZUBAIR"/>
      </sharedItems>
    </cacheField>
    <cacheField name="[Measures].[Sum of TOTAL]" caption="Sum of TOTAL" numFmtId="0" hierarchy="11" level="32767"/>
    <cacheField name="[Range].[CLASS PARTICIPATION].[CLASS PARTICIPATION]" caption="CLASS PARTICIPATION" numFmtId="0" hierarchy="5" level="1">
      <sharedItems containsSemiMixedTypes="0" containsString="0" containsNumber="1" containsInteger="1" minValue="7" maxValue="20" count="9">
        <n v="14"/>
        <n v="19"/>
        <n v="8"/>
        <n v="18"/>
        <n v="20"/>
        <n v="11"/>
        <n v="9"/>
        <n v="15"/>
        <n v="7"/>
      </sharedItems>
      <extLst>
        <ext xmlns:x15="http://schemas.microsoft.com/office/spreadsheetml/2010/11/main" uri="{4F2E5C28-24EA-4eb8-9CBF-B6C8F9C3D259}">
          <x15:cachedUniqueNames>
            <x15:cachedUniqueName index="0" name="[Range].[CLASS PARTICIPATION].&amp;[14]"/>
            <x15:cachedUniqueName index="1" name="[Range].[CLASS PARTICIPATION].&amp;[19]"/>
            <x15:cachedUniqueName index="2" name="[Range].[CLASS PARTICIPATION].&amp;[8]"/>
            <x15:cachedUniqueName index="3" name="[Range].[CLASS PARTICIPATION].&amp;[18]"/>
            <x15:cachedUniqueName index="4" name="[Range].[CLASS PARTICIPATION].&amp;[20]"/>
            <x15:cachedUniqueName index="5" name="[Range].[CLASS PARTICIPATION].&amp;[11]"/>
            <x15:cachedUniqueName index="6" name="[Range].[CLASS PARTICIPATION].&amp;[9]"/>
            <x15:cachedUniqueName index="7" name="[Range].[CLASS PARTICIPATION].&amp;[15]"/>
            <x15:cachedUniqueName index="8" name="[Range].[CLASS PARTICIPATION].&amp;[7]"/>
          </x15:cachedUniqueNames>
        </ext>
      </extLst>
    </cacheField>
  </cacheFields>
  <cacheHierarchies count="12">
    <cacheHierarchy uniqueName="[Range].[NAME]" caption="NAME" attribute="1" defaultMemberUniqueName="[Range].[NAME].[All]" allUniqueName="[Range].[NAM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QUIZ 1]" caption="QUIZ 1" attribute="1" defaultMemberUniqueName="[Range].[QUIZ 1].[All]" allUniqueName="[Range].[QUIZ 1].[All]" dimensionUniqueName="[Range]" displayFolder="" count="0" memberValueDatatype="20" unbalanced="0"/>
    <cacheHierarchy uniqueName="[Range].[ASSIGNMENT 1]" caption="ASSIGNMENT 1" attribute="1" defaultMemberUniqueName="[Range].[ASSIGNMENT 1].[All]" allUniqueName="[Range].[ASSIGNMENT 1].[All]" dimensionUniqueName="[Range]" displayFolder="" count="2" memberValueDatatype="20" unbalanced="0">
      <fieldsUsage count="2">
        <fieldUsage x="-1"/>
        <fieldUsage x="0"/>
      </fieldsUsage>
    </cacheHierarchy>
    <cacheHierarchy uniqueName="[Range].[ASSIGNMENT 2]" caption="ASSIGNMENT 2" attribute="1" defaultMemberUniqueName="[Range].[ASSIGNMENT 2].[All]" allUniqueName="[Range].[ASSIGNMENT 2].[All]" dimensionUniqueName="[Range]" displayFolder="" count="0" memberValueDatatype="20" unbalanced="0"/>
    <cacheHierarchy uniqueName="[Range].[ASSIGNMENT 3]" caption="ASSIGNMENT 3" attribute="1" defaultMemberUniqueName="[Range].[ASSIGNMENT 3].[All]" allUniqueName="[Range].[ASSIGNMENT 3].[All]" dimensionUniqueName="[Range]" displayFolder="" count="0" memberValueDatatype="20" unbalanced="0"/>
    <cacheHierarchy uniqueName="[Range].[CLASS PARTICIPATION]" caption="CLASS PARTICIPATION" attribute="1" defaultMemberUniqueName="[Range].[CLASS PARTICIPATION].[All]" allUniqueName="[Range].[CLASS PARTICIPATION].[All]" dimensionUniqueName="[Range]" displayFolder="" count="2" memberValueDatatype="20" unbalanced="0">
      <fieldsUsage count="2">
        <fieldUsage x="-1"/>
        <fieldUsage x="3"/>
      </fieldsUsage>
    </cacheHierarchy>
    <cacheHierarchy uniqueName="[Range].[PROJECT]" caption="PROJECT" attribute="1" defaultMemberUniqueName="[Range].[PROJECT].[All]" allUniqueName="[Range].[PROJECT].[All]" dimensionUniqueName="[Range]" displayFolder="" count="0" memberValueDatatype="20" unbalanced="0"/>
    <cacheHierarchy uniqueName="[Range].[TOTAL]" caption="TOTAL" attribute="1" defaultMemberUniqueName="[Range].[TOTAL].[All]" allUniqueName="[Range].[TOTAL].[All]" dimensionUniqueName="[Range]" displayFolder="" count="0" memberValueDatatype="20" unbalanced="0"/>
    <cacheHierarchy uniqueName="[Range].[PERCENTAGE]" caption="PERCENTAGE" attribute="1" defaultMemberUniqueName="[Range].[PERCENTAGE].[All]" allUniqueName="[Range].[PERCENTAGE].[All]" dimensionUniqueName="[Range]" displayFolder="" count="2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s v="AVERAGE"/>
    <n v="6"/>
    <s v="SUMIF"/>
    <n v="0"/>
  </r>
  <r>
    <s v="MINIMUM"/>
    <n v="3"/>
    <s v="VLOOKUP"/>
    <n v="67"/>
  </r>
  <r>
    <s v="MAXIMUM"/>
    <n v="10"/>
    <m/>
    <m/>
  </r>
  <r>
    <s v="COUNTA"/>
    <n v="32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">
  <r>
    <x v="0"/>
    <x v="0"/>
    <x v="0"/>
    <x v="0"/>
    <x v="0"/>
    <x v="0"/>
    <x v="0"/>
    <n v="59"/>
    <n v="53.636363636363633"/>
  </r>
  <r>
    <x v="1"/>
    <x v="1"/>
    <x v="1"/>
    <x v="1"/>
    <x v="1"/>
    <x v="1"/>
    <x v="1"/>
    <n v="67"/>
    <n v="60.909090909090907"/>
  </r>
  <r>
    <x v="2"/>
    <x v="2"/>
    <x v="2"/>
    <x v="1"/>
    <x v="2"/>
    <x v="2"/>
    <x v="2"/>
    <n v="84"/>
    <n v="76.36363636363636"/>
  </r>
  <r>
    <x v="3"/>
    <x v="3"/>
    <x v="1"/>
    <x v="1"/>
    <x v="2"/>
    <x v="3"/>
    <x v="3"/>
    <n v="41"/>
    <n v="37.272727272727273"/>
  </r>
  <r>
    <x v="4"/>
    <x v="0"/>
    <x v="0"/>
    <x v="0"/>
    <x v="1"/>
    <x v="4"/>
    <x v="4"/>
    <n v="84"/>
    <n v="76.36363636363636"/>
  </r>
  <r>
    <x v="5"/>
    <x v="2"/>
    <x v="3"/>
    <x v="2"/>
    <x v="3"/>
    <x v="5"/>
    <x v="5"/>
    <n v="61"/>
    <n v="55.454545454545453"/>
  </r>
  <r>
    <x v="6"/>
    <x v="3"/>
    <x v="1"/>
    <x v="3"/>
    <x v="2"/>
    <x v="2"/>
    <x v="6"/>
    <n v="78"/>
    <n v="70.909090909090907"/>
  </r>
  <r>
    <x v="7"/>
    <x v="2"/>
    <x v="0"/>
    <x v="1"/>
    <x v="2"/>
    <x v="2"/>
    <x v="7"/>
    <n v="85"/>
    <n v="77.272727272727266"/>
  </r>
  <r>
    <x v="8"/>
    <x v="3"/>
    <x v="4"/>
    <x v="4"/>
    <x v="4"/>
    <x v="6"/>
    <x v="8"/>
    <n v="41"/>
    <n v="37.272727272727273"/>
  </r>
  <r>
    <x v="9"/>
    <x v="4"/>
    <x v="1"/>
    <x v="1"/>
    <x v="5"/>
    <x v="7"/>
    <x v="9"/>
    <n v="40"/>
    <n v="36.363636363636367"/>
  </r>
  <r>
    <x v="10"/>
    <x v="5"/>
    <x v="0"/>
    <x v="1"/>
    <x v="0"/>
    <x v="6"/>
    <x v="10"/>
    <n v="37"/>
    <n v="33.636363636363633"/>
  </r>
  <r>
    <x v="11"/>
    <x v="6"/>
    <x v="5"/>
    <x v="5"/>
    <x v="5"/>
    <x v="8"/>
    <x v="4"/>
    <n v="87"/>
    <n v="79.090909090909093"/>
  </r>
  <r>
    <x v="12"/>
    <x v="1"/>
    <x v="5"/>
    <x v="5"/>
    <x v="5"/>
    <x v="0"/>
    <x v="7"/>
    <n v="87"/>
    <n v="79.090909090909093"/>
  </r>
  <r>
    <x v="13"/>
    <x v="5"/>
    <x v="5"/>
    <x v="6"/>
    <x v="5"/>
    <x v="8"/>
    <x v="6"/>
    <n v="77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C18" firstHeaderRow="1" firstDataRow="1" firstDataCol="0"/>
  <pivotFields count="4"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O5" firstHeaderRow="1" firstDataRow="2" firstDataCol="0" rowPageCount="1" colPageCount="1"/>
  <pivotFields count="9">
    <pivotField axis="axisCol" showAll="0">
      <items count="15">
        <item x="1"/>
        <item x="13"/>
        <item x="9"/>
        <item x="7"/>
        <item x="4"/>
        <item x="11"/>
        <item x="5"/>
        <item x="8"/>
        <item x="12"/>
        <item x="0"/>
        <item x="3"/>
        <item x="10"/>
        <item x="6"/>
        <item x="2"/>
        <item t="default"/>
      </items>
    </pivotField>
    <pivotField showAll="0">
      <items count="8">
        <item x="6"/>
        <item x="5"/>
        <item x="4"/>
        <item x="3"/>
        <item x="0"/>
        <item x="1"/>
        <item x="2"/>
        <item t="default"/>
      </items>
    </pivotField>
    <pivotField axis="axisPage" showAll="0">
      <items count="7">
        <item x="4"/>
        <item x="3"/>
        <item x="0"/>
        <item x="1"/>
        <item x="2"/>
        <item x="5"/>
        <item t="default"/>
      </items>
    </pivotField>
    <pivotField showAll="0">
      <items count="8">
        <item x="2"/>
        <item x="4"/>
        <item x="6"/>
        <item x="0"/>
        <item x="1"/>
        <item x="3"/>
        <item x="5"/>
        <item t="default"/>
      </items>
    </pivotField>
    <pivotField showAll="0">
      <items count="7">
        <item x="3"/>
        <item x="4"/>
        <item x="0"/>
        <item x="1"/>
        <item x="2"/>
        <item x="5"/>
        <item t="default"/>
      </items>
    </pivotField>
    <pivotField showAll="0">
      <items count="10">
        <item x="3"/>
        <item x="7"/>
        <item x="6"/>
        <item x="5"/>
        <item x="1"/>
        <item x="0"/>
        <item x="2"/>
        <item x="8"/>
        <item x="4"/>
        <item t="default"/>
      </items>
    </pivotField>
    <pivotField showAll="0">
      <items count="12">
        <item x="9"/>
        <item x="10"/>
        <item x="3"/>
        <item x="8"/>
        <item x="0"/>
        <item x="1"/>
        <item x="5"/>
        <item x="6"/>
        <item x="2"/>
        <item x="7"/>
        <item x="4"/>
        <item t="default"/>
      </items>
    </pivotField>
    <pivotField showAll="0"/>
    <pivotField showAll="0"/>
  </pivotFields>
  <rowItems count="1">
    <i/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pageFields count="1"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B33" firstHeaderRow="1" firstDataRow="1" firstDataCol="1" rowPageCount="1" colPageCount="1"/>
  <pivotFields count="4">
    <pivotField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Row" allDrilled="1" showAll="0" dataSourceSort="1" defaultAttributeDrillState="1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2">
    <field x="1"/>
    <field x="3"/>
  </rowFields>
  <rowItems count="29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1"/>
    </i>
    <i>
      <x v="6"/>
    </i>
    <i r="1">
      <x v="5"/>
    </i>
    <i>
      <x v="7"/>
    </i>
    <i r="1">
      <x v="6"/>
    </i>
    <i>
      <x v="8"/>
    </i>
    <i r="1">
      <x v="7"/>
    </i>
    <i>
      <x v="9"/>
    </i>
    <i r="1">
      <x v="7"/>
    </i>
    <i>
      <x v="10"/>
    </i>
    <i r="1">
      <x v="8"/>
    </i>
    <i>
      <x v="11"/>
    </i>
    <i r="1">
      <x v="6"/>
    </i>
    <i>
      <x v="12"/>
    </i>
    <i r="1">
      <x v="3"/>
    </i>
    <i>
      <x v="13"/>
    </i>
    <i r="1">
      <x v="3"/>
    </i>
    <i t="grand">
      <x/>
    </i>
  </rowItems>
  <colItems count="1">
    <i/>
  </colItems>
  <pageFields count="1">
    <pageField fld="0" hier="2" name="[Range].[ASSIGNMENT 1].[All]" cap="All"/>
  </pageFields>
  <dataFields count="1">
    <dataField name="Sum of TOTAL" fld="2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B$2:$J$16">
        <x15:activeTabTopLevelEntity name="[Range]"/>
      </x15:pivotTableUISettings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 x14ac:dyDescent="0.25"/>
  <sheetData>
    <row r="1" spans="1:3" x14ac:dyDescent="0.25">
      <c r="A1" s="3"/>
      <c r="B1" s="4"/>
      <c r="C1" s="5"/>
    </row>
    <row r="2" spans="1:3" x14ac:dyDescent="0.25">
      <c r="A2" s="6"/>
      <c r="B2" s="7"/>
      <c r="C2" s="8"/>
    </row>
    <row r="3" spans="1:3" x14ac:dyDescent="0.25">
      <c r="A3" s="6"/>
      <c r="B3" s="7"/>
      <c r="C3" s="8"/>
    </row>
    <row r="4" spans="1:3" x14ac:dyDescent="0.25">
      <c r="A4" s="6"/>
      <c r="B4" s="7"/>
      <c r="C4" s="8"/>
    </row>
    <row r="5" spans="1:3" x14ac:dyDescent="0.25">
      <c r="A5" s="6"/>
      <c r="B5" s="7"/>
      <c r="C5" s="8"/>
    </row>
    <row r="6" spans="1:3" x14ac:dyDescent="0.25">
      <c r="A6" s="6"/>
      <c r="B6" s="7"/>
      <c r="C6" s="8"/>
    </row>
    <row r="7" spans="1:3" x14ac:dyDescent="0.25">
      <c r="A7" s="6"/>
      <c r="B7" s="7"/>
      <c r="C7" s="8"/>
    </row>
    <row r="8" spans="1:3" x14ac:dyDescent="0.25">
      <c r="A8" s="6"/>
      <c r="B8" s="7"/>
      <c r="C8" s="8"/>
    </row>
    <row r="9" spans="1:3" x14ac:dyDescent="0.25">
      <c r="A9" s="6"/>
      <c r="B9" s="7"/>
      <c r="C9" s="8"/>
    </row>
    <row r="10" spans="1:3" x14ac:dyDescent="0.25">
      <c r="A10" s="6"/>
      <c r="B10" s="7"/>
      <c r="C10" s="8"/>
    </row>
    <row r="11" spans="1:3" x14ac:dyDescent="0.25">
      <c r="A11" s="6"/>
      <c r="B11" s="7"/>
      <c r="C11" s="8"/>
    </row>
    <row r="12" spans="1:3" x14ac:dyDescent="0.25">
      <c r="A12" s="6"/>
      <c r="B12" s="7"/>
      <c r="C12" s="8"/>
    </row>
    <row r="13" spans="1:3" x14ac:dyDescent="0.25">
      <c r="A13" s="6"/>
      <c r="B13" s="7"/>
      <c r="C13" s="8"/>
    </row>
    <row r="14" spans="1:3" x14ac:dyDescent="0.25">
      <c r="A14" s="6"/>
      <c r="B14" s="7"/>
      <c r="C14" s="8"/>
    </row>
    <row r="15" spans="1:3" x14ac:dyDescent="0.25">
      <c r="A15" s="6"/>
      <c r="B15" s="7"/>
      <c r="C15" s="8"/>
    </row>
    <row r="16" spans="1:3" x14ac:dyDescent="0.25">
      <c r="A16" s="6"/>
      <c r="B16" s="7"/>
      <c r="C16" s="8"/>
    </row>
    <row r="17" spans="1:3" x14ac:dyDescent="0.25">
      <c r="A17" s="6"/>
      <c r="B17" s="7"/>
      <c r="C17" s="8"/>
    </row>
    <row r="18" spans="1:3" x14ac:dyDescent="0.25">
      <c r="A18" s="9"/>
      <c r="B18" s="10"/>
      <c r="C18" s="11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"/>
  <sheetViews>
    <sheetView workbookViewId="0">
      <selection activeCell="B16" sqref="B16"/>
    </sheetView>
  </sheetViews>
  <sheetFormatPr defaultRowHeight="15" x14ac:dyDescent="0.25"/>
  <cols>
    <col min="1" max="14" width="16.28515625" customWidth="1"/>
    <col min="15" max="15" width="11.28515625" customWidth="1"/>
    <col min="16" max="16" width="20.85546875" customWidth="1"/>
    <col min="17" max="18" width="19.42578125" customWidth="1"/>
    <col min="19" max="19" width="19.42578125" bestFit="1" customWidth="1"/>
    <col min="20" max="20" width="19.42578125" customWidth="1"/>
    <col min="21" max="21" width="19.42578125" bestFit="1" customWidth="1"/>
    <col min="22" max="22" width="19.42578125" customWidth="1"/>
    <col min="23" max="23" width="14.7109375" customWidth="1"/>
    <col min="24" max="24" width="20.85546875" customWidth="1"/>
    <col min="25" max="26" width="19.42578125" customWidth="1"/>
    <col min="27" max="27" width="14.7109375" customWidth="1"/>
    <col min="28" max="28" width="20.85546875" customWidth="1"/>
    <col min="29" max="30" width="19.42578125" customWidth="1"/>
    <col min="31" max="31" width="14.7109375" customWidth="1"/>
    <col min="32" max="32" width="20.85546875" customWidth="1"/>
    <col min="33" max="33" width="18.28515625" customWidth="1"/>
    <col min="34" max="34" width="24.42578125" customWidth="1"/>
    <col min="35" max="35" width="24.42578125" bestFit="1" customWidth="1"/>
  </cols>
  <sheetData>
    <row r="2" spans="1:15" x14ac:dyDescent="0.25">
      <c r="A2" s="12" t="s">
        <v>2</v>
      </c>
      <c r="B2" t="s">
        <v>58</v>
      </c>
    </row>
    <row r="4" spans="1:15" x14ac:dyDescent="0.25">
      <c r="A4" s="12" t="s">
        <v>59</v>
      </c>
    </row>
    <row r="5" spans="1:15" x14ac:dyDescent="0.25">
      <c r="A5" t="s">
        <v>24</v>
      </c>
      <c r="B5" t="s">
        <v>37</v>
      </c>
      <c r="C5" t="s">
        <v>33</v>
      </c>
      <c r="D5" t="s">
        <v>31</v>
      </c>
      <c r="E5" t="s">
        <v>28</v>
      </c>
      <c r="F5" t="s">
        <v>35</v>
      </c>
      <c r="G5" t="s">
        <v>29</v>
      </c>
      <c r="H5" t="s">
        <v>32</v>
      </c>
      <c r="I5" t="s">
        <v>36</v>
      </c>
      <c r="J5" t="s">
        <v>25</v>
      </c>
      <c r="K5" t="s">
        <v>27</v>
      </c>
      <c r="L5" t="s">
        <v>34</v>
      </c>
      <c r="M5" t="s">
        <v>30</v>
      </c>
      <c r="N5" t="s">
        <v>26</v>
      </c>
      <c r="O5" t="s">
        <v>57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3"/>
  <sheetViews>
    <sheetView workbookViewId="0">
      <selection activeCell="M13" sqref="M13"/>
    </sheetView>
  </sheetViews>
  <sheetFormatPr defaultRowHeight="15" x14ac:dyDescent="0.25"/>
  <cols>
    <col min="1" max="1" width="14.28515625" customWidth="1"/>
    <col min="2" max="2" width="13.28515625" customWidth="1"/>
    <col min="3" max="7" width="12" customWidth="1"/>
    <col min="8" max="8" width="3" customWidth="1"/>
    <col min="9" max="12" width="12" customWidth="1"/>
    <col min="13" max="13" width="11.28515625" customWidth="1"/>
    <col min="14" max="14" width="16.28515625" bestFit="1" customWidth="1"/>
    <col min="15" max="15" width="11.28515625" bestFit="1" customWidth="1"/>
  </cols>
  <sheetData>
    <row r="2" spans="1:2" x14ac:dyDescent="0.25">
      <c r="A2" s="12" t="s">
        <v>2</v>
      </c>
      <c r="B2" t="s" vm="1">
        <v>61</v>
      </c>
    </row>
    <row r="4" spans="1:2" x14ac:dyDescent="0.25">
      <c r="A4" s="12" t="s">
        <v>56</v>
      </c>
      <c r="B4" t="s">
        <v>60</v>
      </c>
    </row>
    <row r="5" spans="1:2" x14ac:dyDescent="0.25">
      <c r="A5" s="13" t="s">
        <v>24</v>
      </c>
      <c r="B5" s="14">
        <v>67</v>
      </c>
    </row>
    <row r="6" spans="1:2" x14ac:dyDescent="0.25">
      <c r="A6" s="15">
        <v>14</v>
      </c>
      <c r="B6" s="14">
        <v>67</v>
      </c>
    </row>
    <row r="7" spans="1:2" x14ac:dyDescent="0.25">
      <c r="A7" s="13" t="s">
        <v>37</v>
      </c>
      <c r="B7" s="14">
        <v>77</v>
      </c>
    </row>
    <row r="8" spans="1:2" x14ac:dyDescent="0.25">
      <c r="A8" s="15">
        <v>19</v>
      </c>
      <c r="B8" s="14">
        <v>77</v>
      </c>
    </row>
    <row r="9" spans="1:2" x14ac:dyDescent="0.25">
      <c r="A9" s="13" t="s">
        <v>33</v>
      </c>
      <c r="B9" s="14">
        <v>40</v>
      </c>
    </row>
    <row r="10" spans="1:2" x14ac:dyDescent="0.25">
      <c r="A10" s="15">
        <v>8</v>
      </c>
      <c r="B10" s="14">
        <v>40</v>
      </c>
    </row>
    <row r="11" spans="1:2" x14ac:dyDescent="0.25">
      <c r="A11" s="13" t="s">
        <v>31</v>
      </c>
      <c r="B11" s="14">
        <v>85</v>
      </c>
    </row>
    <row r="12" spans="1:2" x14ac:dyDescent="0.25">
      <c r="A12" s="15">
        <v>18</v>
      </c>
      <c r="B12" s="14">
        <v>85</v>
      </c>
    </row>
    <row r="13" spans="1:2" x14ac:dyDescent="0.25">
      <c r="A13" s="13" t="s">
        <v>28</v>
      </c>
      <c r="B13" s="14">
        <v>84</v>
      </c>
    </row>
    <row r="14" spans="1:2" x14ac:dyDescent="0.25">
      <c r="A14" s="15">
        <v>20</v>
      </c>
      <c r="B14" s="14">
        <v>84</v>
      </c>
    </row>
    <row r="15" spans="1:2" x14ac:dyDescent="0.25">
      <c r="A15" s="13" t="s">
        <v>35</v>
      </c>
      <c r="B15" s="14">
        <v>87</v>
      </c>
    </row>
    <row r="16" spans="1:2" x14ac:dyDescent="0.25">
      <c r="A16" s="15">
        <v>19</v>
      </c>
      <c r="B16" s="14">
        <v>87</v>
      </c>
    </row>
    <row r="17" spans="1:2" x14ac:dyDescent="0.25">
      <c r="A17" s="13" t="s">
        <v>29</v>
      </c>
      <c r="B17" s="14">
        <v>61</v>
      </c>
    </row>
    <row r="18" spans="1:2" x14ac:dyDescent="0.25">
      <c r="A18" s="15">
        <v>11</v>
      </c>
      <c r="B18" s="14">
        <v>61</v>
      </c>
    </row>
    <row r="19" spans="1:2" x14ac:dyDescent="0.25">
      <c r="A19" s="13" t="s">
        <v>32</v>
      </c>
      <c r="B19" s="14">
        <v>41</v>
      </c>
    </row>
    <row r="20" spans="1:2" x14ac:dyDescent="0.25">
      <c r="A20" s="15">
        <v>9</v>
      </c>
      <c r="B20" s="14">
        <v>41</v>
      </c>
    </row>
    <row r="21" spans="1:2" x14ac:dyDescent="0.25">
      <c r="A21" s="13" t="s">
        <v>36</v>
      </c>
      <c r="B21" s="14">
        <v>87</v>
      </c>
    </row>
    <row r="22" spans="1:2" x14ac:dyDescent="0.25">
      <c r="A22" s="15">
        <v>15</v>
      </c>
      <c r="B22" s="14">
        <v>87</v>
      </c>
    </row>
    <row r="23" spans="1:2" x14ac:dyDescent="0.25">
      <c r="A23" s="13" t="s">
        <v>25</v>
      </c>
      <c r="B23" s="14">
        <v>59</v>
      </c>
    </row>
    <row r="24" spans="1:2" x14ac:dyDescent="0.25">
      <c r="A24" s="15">
        <v>15</v>
      </c>
      <c r="B24" s="14">
        <v>59</v>
      </c>
    </row>
    <row r="25" spans="1:2" x14ac:dyDescent="0.25">
      <c r="A25" s="13" t="s">
        <v>27</v>
      </c>
      <c r="B25" s="14">
        <v>41</v>
      </c>
    </row>
    <row r="26" spans="1:2" x14ac:dyDescent="0.25">
      <c r="A26" s="15">
        <v>7</v>
      </c>
      <c r="B26" s="14">
        <v>41</v>
      </c>
    </row>
    <row r="27" spans="1:2" x14ac:dyDescent="0.25">
      <c r="A27" s="13" t="s">
        <v>34</v>
      </c>
      <c r="B27" s="14">
        <v>37</v>
      </c>
    </row>
    <row r="28" spans="1:2" x14ac:dyDescent="0.25">
      <c r="A28" s="15">
        <v>9</v>
      </c>
      <c r="B28" s="14">
        <v>37</v>
      </c>
    </row>
    <row r="29" spans="1:2" x14ac:dyDescent="0.25">
      <c r="A29" s="13" t="s">
        <v>30</v>
      </c>
      <c r="B29" s="14">
        <v>78</v>
      </c>
    </row>
    <row r="30" spans="1:2" x14ac:dyDescent="0.25">
      <c r="A30" s="15">
        <v>18</v>
      </c>
      <c r="B30" s="14">
        <v>78</v>
      </c>
    </row>
    <row r="31" spans="1:2" x14ac:dyDescent="0.25">
      <c r="A31" s="13" t="s">
        <v>26</v>
      </c>
      <c r="B31" s="14">
        <v>84</v>
      </c>
    </row>
    <row r="32" spans="1:2" x14ac:dyDescent="0.25">
      <c r="A32" s="15">
        <v>18</v>
      </c>
      <c r="B32" s="14">
        <v>84</v>
      </c>
    </row>
    <row r="33" spans="1:2" x14ac:dyDescent="0.25">
      <c r="A33" s="13" t="s">
        <v>57</v>
      </c>
      <c r="B33" s="14">
        <v>928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A2" workbookViewId="0">
      <selection activeCell="L6" sqref="L6"/>
    </sheetView>
  </sheetViews>
  <sheetFormatPr defaultRowHeight="15" x14ac:dyDescent="0.25"/>
  <cols>
    <col min="1" max="1" width="10.5703125" customWidth="1"/>
    <col min="2" max="2" width="12.5703125" customWidth="1"/>
    <col min="4" max="4" width="21.85546875" customWidth="1"/>
    <col min="5" max="6" width="21.5703125" customWidth="1"/>
    <col min="7" max="7" width="29" customWidth="1"/>
    <col min="8" max="8" width="11.85546875" customWidth="1"/>
    <col min="10" max="10" width="17.5703125" customWidth="1"/>
    <col min="11" max="11" width="10.5703125" customWidth="1"/>
  </cols>
  <sheetData>
    <row r="1" spans="1:11" ht="37.5" customHeight="1" x14ac:dyDescent="0.55000000000000004">
      <c r="E1" s="1" t="s">
        <v>62</v>
      </c>
      <c r="F1" s="1"/>
      <c r="G1" s="1"/>
    </row>
    <row r="2" spans="1:11" s="2" customFormat="1" ht="27" customHeight="1" x14ac:dyDescent="0.3">
      <c r="A2" s="2" t="s">
        <v>0</v>
      </c>
      <c r="B2" s="2" t="s">
        <v>10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1:11" x14ac:dyDescent="0.25">
      <c r="A3" t="s">
        <v>42</v>
      </c>
      <c r="B3" t="s">
        <v>25</v>
      </c>
      <c r="C3">
        <v>7</v>
      </c>
      <c r="D3">
        <v>5</v>
      </c>
      <c r="E3">
        <v>6</v>
      </c>
      <c r="F3">
        <v>6</v>
      </c>
      <c r="G3">
        <v>15</v>
      </c>
      <c r="H3">
        <v>20</v>
      </c>
      <c r="I3">
        <f>SUM(C3:H3)</f>
        <v>59</v>
      </c>
      <c r="J3">
        <f>I3*100/110</f>
        <v>53.636363636363633</v>
      </c>
      <c r="K3" t="str">
        <f>IF(I3&gt;50,"pass","fail")</f>
        <v>pass</v>
      </c>
    </row>
    <row r="4" spans="1:11" x14ac:dyDescent="0.25">
      <c r="A4" t="s">
        <v>11</v>
      </c>
      <c r="B4" t="s">
        <v>24</v>
      </c>
      <c r="C4">
        <v>8</v>
      </c>
      <c r="D4">
        <v>6</v>
      </c>
      <c r="E4">
        <v>7</v>
      </c>
      <c r="F4">
        <v>7</v>
      </c>
      <c r="G4">
        <v>14</v>
      </c>
      <c r="H4">
        <v>25</v>
      </c>
      <c r="I4">
        <f t="shared" ref="I4:I5" si="0">SUM(C4:H4)</f>
        <v>67</v>
      </c>
      <c r="J4">
        <f t="shared" ref="J4:J20" si="1">I4*100/110</f>
        <v>60.909090909090907</v>
      </c>
      <c r="K4" t="str">
        <f t="shared" ref="K4:K20" si="2">IF(I4&gt;50,"pass","fail")</f>
        <v>pass</v>
      </c>
    </row>
    <row r="5" spans="1:11" x14ac:dyDescent="0.25">
      <c r="A5" t="s">
        <v>12</v>
      </c>
      <c r="B5" t="s">
        <v>26</v>
      </c>
      <c r="C5">
        <v>9</v>
      </c>
      <c r="D5">
        <v>7</v>
      </c>
      <c r="E5">
        <v>7</v>
      </c>
      <c r="F5">
        <v>8</v>
      </c>
      <c r="G5">
        <v>18</v>
      </c>
      <c r="H5">
        <v>35</v>
      </c>
      <c r="I5">
        <f t="shared" si="0"/>
        <v>84</v>
      </c>
      <c r="J5">
        <f t="shared" si="1"/>
        <v>76.36363636363636</v>
      </c>
      <c r="K5" t="str">
        <f t="shared" si="2"/>
        <v>pass</v>
      </c>
    </row>
    <row r="6" spans="1:11" x14ac:dyDescent="0.25">
      <c r="A6" t="s">
        <v>13</v>
      </c>
      <c r="B6" t="s">
        <v>27</v>
      </c>
      <c r="C6">
        <v>6</v>
      </c>
      <c r="D6">
        <v>6</v>
      </c>
      <c r="E6">
        <v>7</v>
      </c>
      <c r="F6">
        <v>8</v>
      </c>
      <c r="G6">
        <v>7</v>
      </c>
      <c r="H6">
        <v>7</v>
      </c>
      <c r="I6">
        <f t="shared" ref="I6:I20" si="3">SUM(C6:H6)</f>
        <v>41</v>
      </c>
      <c r="J6">
        <f t="shared" si="1"/>
        <v>37.272727272727273</v>
      </c>
      <c r="K6" t="str">
        <f t="shared" si="2"/>
        <v>fail</v>
      </c>
    </row>
    <row r="7" spans="1:11" x14ac:dyDescent="0.25">
      <c r="A7" t="s">
        <v>14</v>
      </c>
      <c r="B7" t="s">
        <v>28</v>
      </c>
      <c r="C7">
        <v>7</v>
      </c>
      <c r="D7">
        <v>5</v>
      </c>
      <c r="E7">
        <v>6</v>
      </c>
      <c r="F7">
        <v>7</v>
      </c>
      <c r="G7">
        <v>20</v>
      </c>
      <c r="H7">
        <v>39</v>
      </c>
      <c r="I7">
        <f t="shared" si="3"/>
        <v>84</v>
      </c>
      <c r="J7">
        <f t="shared" si="1"/>
        <v>76.36363636363636</v>
      </c>
      <c r="K7" t="str">
        <f t="shared" si="2"/>
        <v>pass</v>
      </c>
    </row>
    <row r="8" spans="1:11" x14ac:dyDescent="0.25">
      <c r="A8" t="s">
        <v>15</v>
      </c>
      <c r="B8" t="s">
        <v>29</v>
      </c>
      <c r="C8">
        <v>9</v>
      </c>
      <c r="D8">
        <v>4</v>
      </c>
      <c r="E8">
        <v>3</v>
      </c>
      <c r="F8">
        <v>4</v>
      </c>
      <c r="G8">
        <v>11</v>
      </c>
      <c r="H8">
        <v>30</v>
      </c>
      <c r="I8">
        <f t="shared" si="3"/>
        <v>61</v>
      </c>
      <c r="J8">
        <f t="shared" si="1"/>
        <v>55.454545454545453</v>
      </c>
      <c r="K8" t="str">
        <f t="shared" si="2"/>
        <v>pass</v>
      </c>
    </row>
    <row r="9" spans="1:11" x14ac:dyDescent="0.25">
      <c r="A9" t="s">
        <v>16</v>
      </c>
      <c r="B9" t="s">
        <v>30</v>
      </c>
      <c r="C9">
        <v>6</v>
      </c>
      <c r="D9">
        <v>6</v>
      </c>
      <c r="E9">
        <v>8</v>
      </c>
      <c r="F9">
        <v>8</v>
      </c>
      <c r="G9">
        <v>18</v>
      </c>
      <c r="H9">
        <v>32</v>
      </c>
      <c r="I9">
        <f t="shared" si="3"/>
        <v>78</v>
      </c>
      <c r="J9">
        <f t="shared" si="1"/>
        <v>70.909090909090907</v>
      </c>
      <c r="K9" t="str">
        <f t="shared" si="2"/>
        <v>pass</v>
      </c>
    </row>
    <row r="10" spans="1:11" x14ac:dyDescent="0.25">
      <c r="A10" t="s">
        <v>17</v>
      </c>
      <c r="B10" t="s">
        <v>31</v>
      </c>
      <c r="C10">
        <v>9</v>
      </c>
      <c r="D10">
        <v>5</v>
      </c>
      <c r="E10">
        <v>7</v>
      </c>
      <c r="F10">
        <v>8</v>
      </c>
      <c r="G10">
        <v>18</v>
      </c>
      <c r="H10">
        <v>38</v>
      </c>
      <c r="I10">
        <f t="shared" si="3"/>
        <v>85</v>
      </c>
      <c r="J10">
        <f t="shared" si="1"/>
        <v>77.272727272727266</v>
      </c>
      <c r="K10" t="str">
        <f t="shared" si="2"/>
        <v>pass</v>
      </c>
    </row>
    <row r="11" spans="1:11" x14ac:dyDescent="0.25">
      <c r="A11" t="s">
        <v>18</v>
      </c>
      <c r="B11" t="s">
        <v>32</v>
      </c>
      <c r="C11">
        <v>6</v>
      </c>
      <c r="D11">
        <v>3</v>
      </c>
      <c r="E11">
        <v>4</v>
      </c>
      <c r="F11">
        <v>5</v>
      </c>
      <c r="G11">
        <v>9</v>
      </c>
      <c r="H11">
        <v>14</v>
      </c>
      <c r="I11">
        <f t="shared" si="3"/>
        <v>41</v>
      </c>
      <c r="J11">
        <f t="shared" si="1"/>
        <v>37.272727272727273</v>
      </c>
      <c r="K11" t="str">
        <f t="shared" si="2"/>
        <v>fail</v>
      </c>
    </row>
    <row r="12" spans="1:11" x14ac:dyDescent="0.25">
      <c r="A12" t="s">
        <v>19</v>
      </c>
      <c r="B12" t="s">
        <v>33</v>
      </c>
      <c r="C12">
        <v>5</v>
      </c>
      <c r="D12">
        <v>6</v>
      </c>
      <c r="E12">
        <v>7</v>
      </c>
      <c r="F12">
        <v>9</v>
      </c>
      <c r="G12">
        <v>8</v>
      </c>
      <c r="H12">
        <v>5</v>
      </c>
      <c r="I12">
        <f t="shared" si="3"/>
        <v>40</v>
      </c>
      <c r="J12">
        <f t="shared" si="1"/>
        <v>36.363636363636367</v>
      </c>
      <c r="K12" t="str">
        <f t="shared" si="2"/>
        <v>fail</v>
      </c>
    </row>
    <row r="13" spans="1:11" x14ac:dyDescent="0.25">
      <c r="A13" t="s">
        <v>20</v>
      </c>
      <c r="B13" t="s">
        <v>34</v>
      </c>
      <c r="C13">
        <v>4</v>
      </c>
      <c r="D13">
        <v>5</v>
      </c>
      <c r="E13">
        <v>7</v>
      </c>
      <c r="F13">
        <v>6</v>
      </c>
      <c r="G13">
        <v>9</v>
      </c>
      <c r="H13">
        <v>6</v>
      </c>
      <c r="I13">
        <f t="shared" si="3"/>
        <v>37</v>
      </c>
      <c r="J13">
        <f t="shared" si="1"/>
        <v>33.636363636363633</v>
      </c>
      <c r="K13" t="str">
        <f t="shared" si="2"/>
        <v>fail</v>
      </c>
    </row>
    <row r="14" spans="1:11" x14ac:dyDescent="0.25">
      <c r="A14" t="s">
        <v>21</v>
      </c>
      <c r="B14" t="s">
        <v>35</v>
      </c>
      <c r="C14">
        <v>3</v>
      </c>
      <c r="D14">
        <v>8</v>
      </c>
      <c r="E14">
        <v>9</v>
      </c>
      <c r="F14">
        <v>9</v>
      </c>
      <c r="G14">
        <v>19</v>
      </c>
      <c r="H14">
        <v>39</v>
      </c>
      <c r="I14">
        <f t="shared" si="3"/>
        <v>87</v>
      </c>
      <c r="J14">
        <f t="shared" si="1"/>
        <v>79.090909090909093</v>
      </c>
      <c r="K14" t="str">
        <f t="shared" si="2"/>
        <v>pass</v>
      </c>
    </row>
    <row r="15" spans="1:11" x14ac:dyDescent="0.25">
      <c r="A15" t="s">
        <v>22</v>
      </c>
      <c r="B15" t="s">
        <v>36</v>
      </c>
      <c r="C15">
        <v>8</v>
      </c>
      <c r="D15">
        <v>8</v>
      </c>
      <c r="E15">
        <v>9</v>
      </c>
      <c r="F15">
        <v>9</v>
      </c>
      <c r="G15">
        <v>15</v>
      </c>
      <c r="H15">
        <v>38</v>
      </c>
      <c r="I15">
        <f t="shared" si="3"/>
        <v>87</v>
      </c>
      <c r="J15">
        <f t="shared" si="1"/>
        <v>79.090909090909093</v>
      </c>
      <c r="K15" t="str">
        <f t="shared" si="2"/>
        <v>pass</v>
      </c>
    </row>
    <row r="16" spans="1:11" ht="20.25" x14ac:dyDescent="0.3">
      <c r="A16" s="2" t="s">
        <v>55</v>
      </c>
      <c r="B16" s="2" t="s">
        <v>37</v>
      </c>
      <c r="C16" s="2">
        <v>4</v>
      </c>
      <c r="D16" s="2">
        <v>8</v>
      </c>
      <c r="E16" s="2">
        <v>5</v>
      </c>
      <c r="F16" s="2">
        <v>9</v>
      </c>
      <c r="G16" s="2">
        <v>19</v>
      </c>
      <c r="H16" s="2">
        <v>32</v>
      </c>
      <c r="I16" s="2">
        <f t="shared" si="3"/>
        <v>77</v>
      </c>
      <c r="J16" s="2">
        <f t="shared" si="1"/>
        <v>70</v>
      </c>
      <c r="K16" s="2" t="s">
        <v>54</v>
      </c>
    </row>
    <row r="17" spans="1:11" x14ac:dyDescent="0.25">
      <c r="A17" t="s">
        <v>23</v>
      </c>
      <c r="B17" t="s">
        <v>38</v>
      </c>
      <c r="C17">
        <v>3</v>
      </c>
      <c r="D17">
        <v>9</v>
      </c>
      <c r="E17">
        <v>7</v>
      </c>
      <c r="F17">
        <v>8</v>
      </c>
      <c r="G17">
        <v>4</v>
      </c>
      <c r="H17">
        <v>13</v>
      </c>
      <c r="I17">
        <f t="shared" si="3"/>
        <v>44</v>
      </c>
      <c r="J17">
        <f t="shared" si="1"/>
        <v>40</v>
      </c>
      <c r="K17" t="str">
        <f t="shared" si="2"/>
        <v>fail</v>
      </c>
    </row>
    <row r="18" spans="1:11" x14ac:dyDescent="0.25">
      <c r="A18" t="s">
        <v>43</v>
      </c>
      <c r="B18" t="s">
        <v>39</v>
      </c>
      <c r="C18">
        <v>2</v>
      </c>
      <c r="D18">
        <v>7</v>
      </c>
      <c r="E18">
        <v>9</v>
      </c>
      <c r="F18">
        <v>8</v>
      </c>
      <c r="G18">
        <v>12</v>
      </c>
      <c r="H18">
        <v>31</v>
      </c>
      <c r="I18">
        <f t="shared" si="3"/>
        <v>69</v>
      </c>
      <c r="J18">
        <f t="shared" si="1"/>
        <v>62.727272727272727</v>
      </c>
      <c r="K18" t="str">
        <f t="shared" si="2"/>
        <v>pass</v>
      </c>
    </row>
    <row r="19" spans="1:11" x14ac:dyDescent="0.25">
      <c r="A19" t="s">
        <v>44</v>
      </c>
      <c r="B19" t="s">
        <v>40</v>
      </c>
      <c r="C19">
        <v>6</v>
      </c>
      <c r="D19">
        <v>8</v>
      </c>
      <c r="E19">
        <v>7</v>
      </c>
      <c r="F19">
        <v>8</v>
      </c>
      <c r="G19">
        <v>18</v>
      </c>
      <c r="H19">
        <v>31</v>
      </c>
      <c r="I19">
        <f t="shared" si="3"/>
        <v>78</v>
      </c>
      <c r="J19">
        <f t="shared" si="1"/>
        <v>70.909090909090907</v>
      </c>
      <c r="K19" t="str">
        <f>IF(I19&gt;50,"pass","fail")</f>
        <v>pass</v>
      </c>
    </row>
    <row r="20" spans="1:11" x14ac:dyDescent="0.25">
      <c r="A20" t="s">
        <v>45</v>
      </c>
      <c r="B20" t="s">
        <v>41</v>
      </c>
      <c r="C20">
        <v>2</v>
      </c>
      <c r="D20">
        <v>6</v>
      </c>
      <c r="E20">
        <v>9</v>
      </c>
      <c r="F20">
        <v>8</v>
      </c>
      <c r="G20">
        <v>19</v>
      </c>
      <c r="H20">
        <v>40</v>
      </c>
      <c r="I20">
        <f t="shared" si="3"/>
        <v>84</v>
      </c>
      <c r="J20">
        <f t="shared" si="1"/>
        <v>76.36363636363636</v>
      </c>
      <c r="K20" t="str">
        <f t="shared" si="2"/>
        <v>pass</v>
      </c>
    </row>
    <row r="22" spans="1:11" x14ac:dyDescent="0.25">
      <c r="B22" t="s">
        <v>46</v>
      </c>
      <c r="C22">
        <f>SUM(I3:I22)</f>
        <v>1203</v>
      </c>
      <c r="D22" t="s">
        <v>51</v>
      </c>
      <c r="E22">
        <f>COUNTIF(H3:H22,"&gt;30")</f>
        <v>10</v>
      </c>
    </row>
    <row r="23" spans="1:11" x14ac:dyDescent="0.25">
      <c r="B23" t="s">
        <v>47</v>
      </c>
      <c r="C23">
        <f>AVERAGE(C3:C18)</f>
        <v>6</v>
      </c>
      <c r="D23" t="s">
        <v>52</v>
      </c>
      <c r="E23">
        <f ca="1">SUMIF(B4:B20,C10,D4:D19)</f>
        <v>0</v>
      </c>
    </row>
    <row r="24" spans="1:11" x14ac:dyDescent="0.25">
      <c r="B24" t="s">
        <v>48</v>
      </c>
      <c r="C24">
        <f>MIN(D3:D21)</f>
        <v>3</v>
      </c>
      <c r="D24" t="s">
        <v>53</v>
      </c>
      <c r="E24">
        <f>VLOOKUP(B4,B3:I17,8,FALSE)</f>
        <v>67</v>
      </c>
    </row>
    <row r="25" spans="1:11" x14ac:dyDescent="0.25">
      <c r="B25" t="s">
        <v>49</v>
      </c>
      <c r="C25">
        <f>MAX(E3:E22)</f>
        <v>10</v>
      </c>
    </row>
    <row r="26" spans="1:11" x14ac:dyDescent="0.25">
      <c r="B26" t="s">
        <v>50</v>
      </c>
      <c r="C26">
        <f>COUNTA(B5:B21,C5:C21)</f>
        <v>32</v>
      </c>
    </row>
  </sheetData>
  <conditionalFormatting sqref="I3:K17">
    <cfRule type="cellIs" dxfId="1" priority="2" operator="greaterThanOrEqual">
      <formula>50</formula>
    </cfRule>
  </conditionalFormatting>
  <conditionalFormatting sqref="I3:K18">
    <cfRule type="cellIs" dxfId="0" priority="1" operator="lessThanOrEqual">
      <formula>40</formula>
    </cfRule>
  </conditionalFormatting>
  <dataValidations count="2">
    <dataValidation type="date" errorStyle="warning" allowBlank="1" showInputMessage="1" showErrorMessage="1" errorTitle="YOU ENTER WRONG DATE" error="PLEASE PUT RIGHT DATE" promptTitle="WRONG DATE" prompt="DO NOT ENTER WRONG DATE" sqref="L16">
      <formula1>3</formula1>
      <formula2>20</formula2>
    </dataValidation>
    <dataValidation type="date" errorStyle="warning" allowBlank="1" showInputMessage="1" showErrorMessage="1" errorTitle="PUT RIGHT DATE" error="CLICK RIGHT DATE" promptTitle="DO NOT ENTER WRONG DATE" prompt="PLEASE PUT RIGHT DATE" sqref="A3:A20">
      <formula1>3</formula1>
      <formula2>20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2026-01-29T17:47:24Z</dcterms:created>
  <dcterms:modified xsi:type="dcterms:W3CDTF">2026-01-30T18:16:42Z</dcterms:modified>
</cp:coreProperties>
</file>